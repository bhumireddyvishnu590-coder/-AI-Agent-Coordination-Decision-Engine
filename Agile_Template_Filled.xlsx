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6161827-68F6-447F-813C-A0A363234BE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</workbook>
</file>

<file path=xl/calcChain.xml><?xml version="1.0" encoding="utf-8"?>
<calcChain xmlns="http://schemas.openxmlformats.org/spreadsheetml/2006/main">
  <c r="D6" i="2" l="1"/>
  <c r="E6" i="2" s="1"/>
  <c r="D7" i="2" l="1"/>
  <c r="E7" i="2" s="1"/>
  <c r="D8" i="2" s="1"/>
  <c r="E8" i="2" s="1"/>
  <c r="D9" i="2" s="1"/>
  <c r="E9" i="2" s="1"/>
  <c r="D10" i="2" s="1"/>
  <c r="E10" i="2" s="1"/>
  <c r="D11" i="2" s="1"/>
</calcChain>
</file>

<file path=xl/sharedStrings.xml><?xml version="1.0" encoding="utf-8"?>
<sst xmlns="http://schemas.openxmlformats.org/spreadsheetml/2006/main" count="210" uniqueCount="123">
  <si>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</si>
  <si>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</si>
  <si>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</si>
  <si>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</si>
  <si>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</si>
  <si>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</si>
  <si>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</si>
  <si>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</si>
  <si>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</si>
  <si>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As an HR Commander, I want a dual-role authentication and portal switcher so that Managers and Operatives access distinct interfaces.</t>
  </si>
  <si>
    <t>Must have</t>
  </si>
  <si>
    <t>None</t>
  </si>
  <si>
    <t>Done</t>
  </si>
  <si>
    <t>US-02</t>
  </si>
  <si>
    <t>As a System Admin, I want foundational agent orchestration (Planning, Research, Analysis, Decision) to structure multi-agent pipelines.</t>
  </si>
  <si>
    <t>US-03</t>
  </si>
  <si>
    <t>As an HR Commander, I want a Mission Forge to configure initiatives with deadlines, budgets, difficulty tiers, and required capacity slots.</t>
  </si>
  <si>
    <t>Sprint 2</t>
  </si>
  <si>
    <t>US-04</t>
  </si>
  <si>
    <t>As a Resource Manager, I want a dynamic Resource Allocation Matrix with visual indicators when an employee exceeds 100% capacity.</t>
  </si>
  <si>
    <t>US-05</t>
  </si>
  <si>
    <t>As an AI Lead, I want a shared memory repository (short-term session cache &amp; long-term policy vectors) for contextual agent reasoning.</t>
  </si>
  <si>
    <t>US-06</t>
  </si>
  <si>
    <t>As a Systems Engineer, I want enterprise tool integration (FinOps budget audit, HRMS lookup, SMTP dispatch) for autonomous actions.</t>
  </si>
  <si>
    <t>Should have</t>
  </si>
  <si>
    <t>US-02, US-05</t>
  </si>
  <si>
    <t>Sprint 3</t>
  </si>
  <si>
    <t>US-07</t>
  </si>
  <si>
    <t>As an Operative (Employee), I want an RPG-style workspace with proficiency radar metrics, bandwidth sliders, and internal career quest logs.</t>
  </si>
  <si>
    <t>US-08</t>
  </si>
  <si>
    <t>As an Executive, I want a natural language Multi-Agent RAG terminal displaying real-time agent thought traces (Thought -&gt; Action -&gt; Result).</t>
  </si>
  <si>
    <t>US-05, US-06</t>
  </si>
  <si>
    <t>US-09</t>
  </si>
  <si>
    <t>As an HR Director, I want an autonomous mail composition agent that drafts tailored onboarding and allocation notices upon team assignment.</t>
  </si>
  <si>
    <t>US-04, US-06</t>
  </si>
  <si>
    <t>US-10</t>
  </si>
  <si>
    <t>As a QA Engineer, I want REST API endpoints (/api/state, /api/matrix/toggle, /api/rag/query) for external enterprise workflow invocation.</t>
  </si>
  <si>
    <t>Could have</t>
  </si>
  <si>
    <t>NOTES:  Task sizing should be between 0.5 to 12 hours</t>
  </si>
  <si>
    <t>Task ID</t>
  </si>
  <si>
    <t>Task Description</t>
  </si>
  <si>
    <t>Task Start Date</t>
  </si>
  <si>
    <t>Task Completion Date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</si>
  <si>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</si>
  <si>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</si>
  <si>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</si>
  <si>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</si>
  <si>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</si>
  <si>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</si>
  <si>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</si>
  <si>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</si>
  <si>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</si>
  <si>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</si>
  <si>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</si>
  <si>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</si>
  <si>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</si>
  <si>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</si>
  <si>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</si>
  <si>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</si>
  <si>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</t>
  </si>
  <si>
    <t>TS-101</t>
  </si>
  <si>
    <t>Setup Next.js/React repo &amp; Cyber HUD Tailwind CSS theme</t>
  </si>
  <si>
    <t>2026-09-01</t>
  </si>
  <si>
    <t>Development</t>
  </si>
  <si>
    <t>Completed</t>
  </si>
  <si>
    <t>TS-102</t>
  </si>
  <si>
    <t>Implement role toggle header (Commander vs Operative)</t>
  </si>
  <si>
    <t>UI Design</t>
  </si>
  <si>
    <t>TS-103</t>
  </si>
  <si>
    <t>Design Planning and Research Agent classes &amp; prompt templates</t>
  </si>
  <si>
    <t>AI Pipeline</t>
  </si>
  <si>
    <t>TS-104</t>
  </si>
  <si>
    <t>Develop Analysis and Decision Agent reasoning pipelines</t>
  </si>
  <si>
    <t>TS-105</t>
  </si>
  <si>
    <t>Create Mission Forge UI modal with tech stack &amp; slot selector</t>
  </si>
  <si>
    <t>Frontend</t>
  </si>
  <si>
    <t>TS-106</t>
  </si>
  <si>
    <t>Implement project state persistence in memory &amp; LocalStorage</t>
  </si>
  <si>
    <t>Backend</t>
  </si>
  <si>
    <t>TS-107</t>
  </si>
  <si>
    <t>Sprint 1 Integration testing &amp; demo smoke test</t>
  </si>
  <si>
    <t>QA &amp; Review</t>
  </si>
  <si>
    <t xml:space="preserve">Sprint </t>
  </si>
  <si>
    <t>Day</t>
  </si>
  <si>
    <t>Impediments</t>
  </si>
  <si>
    <t>Action Taken</t>
  </si>
  <si>
    <t>Tailwind CSS build issues with custom backdrop blur classes</t>
  </si>
  <si>
    <t>Pinned Tailwind CSS configuration and imported custom .cyber-glass CSS utilities</t>
  </si>
  <si>
    <t>Planning Agent hallucinated invalid task dependencies during goal decomposition</t>
  </si>
  <si>
    <t>Added Pydantic schema validation and constrained prompt instructions</t>
  </si>
  <si>
    <t>Allocation Matrix state race conditions when multiple slots were toggled rapidly</t>
  </si>
  <si>
    <t>Wrapped allocation updates in atomic React state setters and backend locking</t>
  </si>
  <si>
    <t>High API latency when querying mock vector store for candidate resumes</t>
  </si>
  <si>
    <t>Implemented in-memory vector index cache with keyword fallback heuristics</t>
  </si>
  <si>
    <t>Overload banner was not clearing when an operative was de-allocated</t>
  </si>
  <si>
    <t>Corrected state synchronization logic in toggleAssignment handler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</si>
  <si>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</si>
  <si>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</si>
  <si>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</si>
  <si>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</si>
  <si>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</si>
  <si>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</si>
  <si>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</si>
  <si>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</si>
  <si>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</si>
  <si>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2026-09-12</t>
  </si>
  <si>
    <t>Documenting agent input/output contract schemas early</t>
  </si>
  <si>
    <t>Hardcoding agent prompt templates directly in UI components</t>
  </si>
  <si>
    <t>Daily 15-minute syncs on dependency blockers</t>
  </si>
  <si>
    <t>Created centralized prompt repository in server/agentPrompts.js</t>
  </si>
  <si>
    <t>2026-09-15</t>
  </si>
  <si>
    <t>2026-09-26</t>
  </si>
  <si>
    <t>Automated unit testing for capacity calculation algorithms</t>
  </si>
  <si>
    <t>Manually smoke-testing allocation state transitions</t>
  </si>
  <si>
    <t>Cross-functional code reviews for AI prompt changes</t>
  </si>
  <si>
    <t>Added automated unit test suite verifying capacity &gt; 100% warnings</t>
  </si>
  <si>
    <t>2026-09-29</t>
  </si>
  <si>
    <t>2026-10-10</t>
  </si>
  <si>
    <t>End-to-end integration recording for evaluator presentation</t>
  </si>
  <si>
    <t>Delaying styling polish until the final sprint day</t>
  </si>
  <si>
    <t>Building modular UI components with Lucide icons</t>
  </si>
  <si>
    <t>Packaged complete runnable zip with documentation and demo scripts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</si>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</sst>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666666"/>
      <name val="Arial"/>
    </font>
    <font>
      <b/>
      <sz val="10"/>
      <color rgb="FF000080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14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166" fontId="1" fillId="2" borderId="0" xfId="0" applyNumberFormat="1" applyFont="1" applyFill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A2" workbookViewId="0">
      <selection activeCell="G11" sqref="G11"/>
    </sheetView>
  </sheetViews>
  <sheetFormatPr defaultRowHeight="14.4" x14ac:dyDescent="0.3"/>
  <cols>
    <col min="1" max="1" width="17" customWidth="1"/>
    <col min="2" max="2" width="16" customWidth="1"/>
    <col min="3" max="3" width="12" customWidth="1"/>
    <col min="4" max="4" width="40" customWidth="1"/>
    <col min="5" max="5" width="14" customWidth="1"/>
    <col min="6" max="6" width="15" customWidth="1"/>
    <col min="7" max="7" width="20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ht="57.6" x14ac:dyDescent="0.3">
      <c r="A2" s="2" t="s">
        <v>7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  <c r="G2" s="3" t="s">
        <v>122</v>
      </c>
      <c r="H2" s="2" t="s">
        <v>12</v>
      </c>
    </row>
    <row r="3" spans="1:8" ht="43.2" x14ac:dyDescent="0.3">
      <c r="A3" s="2" t="s">
        <v>7</v>
      </c>
      <c r="B3" s="2" t="s">
        <v>7</v>
      </c>
      <c r="C3" s="2" t="s">
        <v>13</v>
      </c>
      <c r="D3" s="3" t="s">
        <v>14</v>
      </c>
      <c r="E3" s="2" t="s">
        <v>10</v>
      </c>
      <c r="F3" s="3" t="s">
        <v>11</v>
      </c>
      <c r="G3" s="3" t="s">
        <v>122</v>
      </c>
      <c r="H3" s="2" t="s">
        <v>12</v>
      </c>
    </row>
    <row r="4" spans="1:8" ht="43.2" x14ac:dyDescent="0.3">
      <c r="A4" s="2" t="s">
        <v>7</v>
      </c>
      <c r="B4" s="2" t="s">
        <v>7</v>
      </c>
      <c r="C4" s="2" t="s">
        <v>15</v>
      </c>
      <c r="D4" s="3" t="s">
        <v>16</v>
      </c>
      <c r="E4" s="2" t="s">
        <v>10</v>
      </c>
      <c r="F4" s="3" t="s">
        <v>8</v>
      </c>
      <c r="G4" s="3" t="s">
        <v>122</v>
      </c>
      <c r="H4" s="2" t="s">
        <v>12</v>
      </c>
    </row>
    <row r="5" spans="1:8" ht="57.6" x14ac:dyDescent="0.3">
      <c r="A5" s="2" t="s">
        <v>17</v>
      </c>
      <c r="B5" s="2" t="s">
        <v>17</v>
      </c>
      <c r="C5" s="2" t="s">
        <v>18</v>
      </c>
      <c r="D5" s="3" t="s">
        <v>19</v>
      </c>
      <c r="E5" s="2" t="s">
        <v>10</v>
      </c>
      <c r="F5" s="3" t="s">
        <v>15</v>
      </c>
      <c r="G5" s="3" t="s">
        <v>122</v>
      </c>
      <c r="H5" s="2" t="s">
        <v>12</v>
      </c>
    </row>
    <row r="6" spans="1:8" ht="57.6" x14ac:dyDescent="0.3">
      <c r="A6" s="2" t="s">
        <v>17</v>
      </c>
      <c r="B6" s="2" t="s">
        <v>17</v>
      </c>
      <c r="C6" s="2" t="s">
        <v>20</v>
      </c>
      <c r="D6" s="3" t="s">
        <v>21</v>
      </c>
      <c r="E6" s="2" t="s">
        <v>10</v>
      </c>
      <c r="F6" s="3" t="s">
        <v>13</v>
      </c>
      <c r="G6" s="3" t="s">
        <v>122</v>
      </c>
      <c r="H6" s="2" t="s">
        <v>12</v>
      </c>
    </row>
    <row r="7" spans="1:8" ht="43.2" x14ac:dyDescent="0.3">
      <c r="A7" s="2" t="s">
        <v>17</v>
      </c>
      <c r="B7" s="2" t="s">
        <v>17</v>
      </c>
      <c r="C7" s="2" t="s">
        <v>22</v>
      </c>
      <c r="D7" s="3" t="s">
        <v>23</v>
      </c>
      <c r="E7" s="2" t="s">
        <v>24</v>
      </c>
      <c r="F7" s="3" t="s">
        <v>25</v>
      </c>
      <c r="G7" s="3" t="s">
        <v>122</v>
      </c>
      <c r="H7" s="2" t="s">
        <v>12</v>
      </c>
    </row>
    <row r="8" spans="1:8" ht="57.6" x14ac:dyDescent="0.3">
      <c r="A8" s="2" t="s">
        <v>26</v>
      </c>
      <c r="B8" s="2" t="s">
        <v>26</v>
      </c>
      <c r="C8" s="2" t="s">
        <v>27</v>
      </c>
      <c r="D8" s="3" t="s">
        <v>28</v>
      </c>
      <c r="E8" s="2" t="s">
        <v>24</v>
      </c>
      <c r="F8" s="3" t="s">
        <v>8</v>
      </c>
      <c r="G8" s="3" t="s">
        <v>122</v>
      </c>
      <c r="H8" s="2" t="s">
        <v>12</v>
      </c>
    </row>
    <row r="9" spans="1:8" ht="57.6" x14ac:dyDescent="0.3">
      <c r="A9" s="2" t="s">
        <v>26</v>
      </c>
      <c r="B9" s="2" t="s">
        <v>26</v>
      </c>
      <c r="C9" s="2" t="s">
        <v>29</v>
      </c>
      <c r="D9" s="3" t="s">
        <v>30</v>
      </c>
      <c r="E9" s="2" t="s">
        <v>10</v>
      </c>
      <c r="F9" s="3" t="s">
        <v>31</v>
      </c>
      <c r="G9" s="3" t="s">
        <v>122</v>
      </c>
      <c r="H9" s="2" t="s">
        <v>12</v>
      </c>
    </row>
    <row r="10" spans="1:8" ht="57.6" x14ac:dyDescent="0.3">
      <c r="A10" s="2" t="s">
        <v>26</v>
      </c>
      <c r="B10" s="2" t="s">
        <v>26</v>
      </c>
      <c r="C10" s="2" t="s">
        <v>32</v>
      </c>
      <c r="D10" s="3" t="s">
        <v>33</v>
      </c>
      <c r="E10" s="2" t="s">
        <v>24</v>
      </c>
      <c r="F10" s="3" t="s">
        <v>34</v>
      </c>
      <c r="G10" s="3" t="s">
        <v>122</v>
      </c>
      <c r="H10" s="2" t="s">
        <v>12</v>
      </c>
    </row>
    <row r="11" spans="1:8" ht="43.2" x14ac:dyDescent="0.3">
      <c r="A11" s="2" t="s">
        <v>26</v>
      </c>
      <c r="B11" s="2" t="s">
        <v>26</v>
      </c>
      <c r="C11" s="2" t="s">
        <v>35</v>
      </c>
      <c r="D11" s="3" t="s">
        <v>36</v>
      </c>
      <c r="E11" s="2" t="s">
        <v>37</v>
      </c>
      <c r="F11" s="3" t="s">
        <v>29</v>
      </c>
      <c r="G11" s="3" t="s">
        <v>122</v>
      </c>
      <c r="H11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topLeftCell="C1" workbookViewId="0">
      <selection activeCell="D18" sqref="D18"/>
    </sheetView>
  </sheetViews>
  <sheetFormatPr defaultRowHeight="14.4" x14ac:dyDescent="0.3"/>
  <cols>
    <col min="1" max="1" width="35" customWidth="1"/>
    <col min="2" max="2" width="9" customWidth="1"/>
    <col min="3" max="3" width="35" customWidth="1"/>
    <col min="4" max="4" width="17" style="7" customWidth="1"/>
    <col min="5" max="5" width="22" customWidth="1"/>
    <col min="6" max="6" width="19" customWidth="1"/>
    <col min="7" max="7" width="13" customWidth="1"/>
    <col min="8" max="8" width="11" customWidth="1"/>
    <col min="9" max="9" width="35" customWidth="1"/>
    <col min="10" max="23" width="8" customWidth="1"/>
  </cols>
  <sheetData>
    <row r="1" spans="1:23" x14ac:dyDescent="0.3">
      <c r="A1" s="4" t="s">
        <v>38</v>
      </c>
    </row>
    <row r="2" spans="1:23" x14ac:dyDescent="0.3">
      <c r="A2" s="1" t="s">
        <v>2</v>
      </c>
      <c r="B2" s="1" t="s">
        <v>39</v>
      </c>
      <c r="C2" s="1" t="s">
        <v>40</v>
      </c>
      <c r="D2" s="8" t="s">
        <v>41</v>
      </c>
      <c r="E2" s="1" t="s">
        <v>42</v>
      </c>
      <c r="F2" s="1"/>
      <c r="G2" s="1" t="s">
        <v>43</v>
      </c>
      <c r="H2" s="1" t="s">
        <v>6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57</v>
      </c>
      <c r="W2" s="1" t="s">
        <v>58</v>
      </c>
    </row>
    <row r="3" spans="1:23" x14ac:dyDescent="0.3"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s="5" t="s">
        <v>59</v>
      </c>
    </row>
    <row r="5" spans="1:23" ht="28.8" x14ac:dyDescent="0.3">
      <c r="A5" s="2" t="s">
        <v>8</v>
      </c>
      <c r="B5" s="2" t="s">
        <v>60</v>
      </c>
      <c r="C5" s="3" t="s">
        <v>61</v>
      </c>
      <c r="D5" s="6">
        <v>46266</v>
      </c>
      <c r="E5" s="6">
        <v>46267</v>
      </c>
      <c r="F5" s="3" t="s">
        <v>122</v>
      </c>
      <c r="G5" s="3" t="s">
        <v>63</v>
      </c>
      <c r="H5" s="2" t="s">
        <v>64</v>
      </c>
      <c r="I5" s="2">
        <v>8</v>
      </c>
      <c r="J5" s="2">
        <v>4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3" ht="28.8" x14ac:dyDescent="0.3">
      <c r="A6" s="2" t="s">
        <v>8</v>
      </c>
      <c r="B6" s="2" t="s">
        <v>65</v>
      </c>
      <c r="C6" s="3" t="s">
        <v>66</v>
      </c>
      <c r="D6" s="9">
        <f>E5+5</f>
        <v>46272</v>
      </c>
      <c r="E6" s="9">
        <f>D6+5</f>
        <v>46277</v>
      </c>
      <c r="F6" s="3" t="s">
        <v>122</v>
      </c>
      <c r="G6" s="3" t="s">
        <v>67</v>
      </c>
      <c r="H6" s="2" t="s">
        <v>64</v>
      </c>
      <c r="I6" s="2">
        <v>6</v>
      </c>
      <c r="J6" s="2">
        <v>0</v>
      </c>
      <c r="K6" s="2">
        <v>2</v>
      </c>
      <c r="L6" s="2">
        <v>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ht="28.8" x14ac:dyDescent="0.3">
      <c r="A7" s="2" t="s">
        <v>13</v>
      </c>
      <c r="B7" s="2" t="s">
        <v>68</v>
      </c>
      <c r="C7" s="3" t="s">
        <v>69</v>
      </c>
      <c r="D7" s="9">
        <f t="shared" ref="D7:E11" si="0">E6+5</f>
        <v>46282</v>
      </c>
      <c r="E7" s="9">
        <f>D7+5</f>
        <v>46287</v>
      </c>
      <c r="F7" s="3" t="s">
        <v>122</v>
      </c>
      <c r="G7" s="3" t="s">
        <v>70</v>
      </c>
      <c r="H7" s="2" t="s">
        <v>64</v>
      </c>
      <c r="I7" s="2">
        <v>10</v>
      </c>
      <c r="J7" s="2">
        <v>0</v>
      </c>
      <c r="K7" s="2">
        <v>3</v>
      </c>
      <c r="L7" s="2">
        <v>4</v>
      </c>
      <c r="M7" s="2">
        <v>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3" ht="28.8" x14ac:dyDescent="0.3">
      <c r="A8" s="2" t="s">
        <v>13</v>
      </c>
      <c r="B8" s="2" t="s">
        <v>71</v>
      </c>
      <c r="C8" s="3" t="s">
        <v>72</v>
      </c>
      <c r="D8" s="9">
        <f>E7+5</f>
        <v>46292</v>
      </c>
      <c r="E8" s="9">
        <f>D8+5</f>
        <v>46297</v>
      </c>
      <c r="F8" s="3" t="s">
        <v>122</v>
      </c>
      <c r="G8" s="3" t="s">
        <v>70</v>
      </c>
      <c r="H8" s="2" t="s">
        <v>64</v>
      </c>
      <c r="I8" s="2">
        <v>12</v>
      </c>
      <c r="J8" s="2">
        <v>0</v>
      </c>
      <c r="K8" s="2">
        <v>0</v>
      </c>
      <c r="L8" s="2">
        <v>0</v>
      </c>
      <c r="M8" s="2">
        <v>4</v>
      </c>
      <c r="N8" s="2">
        <v>4</v>
      </c>
      <c r="O8" s="2">
        <v>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ht="28.8" x14ac:dyDescent="0.3">
      <c r="A9" s="2" t="s">
        <v>15</v>
      </c>
      <c r="B9" s="2" t="s">
        <v>73</v>
      </c>
      <c r="C9" s="3" t="s">
        <v>74</v>
      </c>
      <c r="D9" s="9">
        <f>E8+2</f>
        <v>46299</v>
      </c>
      <c r="E9" s="9">
        <f>D9+2</f>
        <v>46301</v>
      </c>
      <c r="F9" s="3" t="s">
        <v>122</v>
      </c>
      <c r="G9" s="3" t="s">
        <v>75</v>
      </c>
      <c r="H9" s="2" t="s">
        <v>64</v>
      </c>
      <c r="I9" s="2">
        <v>8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3</v>
      </c>
      <c r="P9" s="2">
        <v>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ht="28.8" x14ac:dyDescent="0.3">
      <c r="A10" s="2" t="s">
        <v>15</v>
      </c>
      <c r="B10" s="2" t="s">
        <v>76</v>
      </c>
      <c r="C10" s="3" t="s">
        <v>77</v>
      </c>
      <c r="D10" s="9">
        <f t="shared" ref="D10:E11" si="1">E9+2</f>
        <v>46303</v>
      </c>
      <c r="E10" s="9">
        <f>D10+2</f>
        <v>46305</v>
      </c>
      <c r="F10" s="3" t="s">
        <v>122</v>
      </c>
      <c r="G10" s="3" t="s">
        <v>78</v>
      </c>
      <c r="H10" s="2" t="s">
        <v>64</v>
      </c>
      <c r="I10" s="2">
        <v>6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3</v>
      </c>
      <c r="R10" s="2">
        <v>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3" ht="28.8" x14ac:dyDescent="0.3">
      <c r="A11" s="2" t="s">
        <v>8</v>
      </c>
      <c r="B11" s="2" t="s">
        <v>79</v>
      </c>
      <c r="C11" s="3" t="s">
        <v>80</v>
      </c>
      <c r="D11" s="9">
        <f t="shared" si="1"/>
        <v>46307</v>
      </c>
      <c r="E11" s="9">
        <v>46307</v>
      </c>
      <c r="F11" s="3" t="s">
        <v>122</v>
      </c>
      <c r="G11" s="3" t="s">
        <v>81</v>
      </c>
      <c r="H11" s="2" t="s">
        <v>64</v>
      </c>
      <c r="I11" s="2">
        <v>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2</v>
      </c>
      <c r="S11" s="2">
        <v>4</v>
      </c>
      <c r="T11" s="2">
        <v>0</v>
      </c>
      <c r="U11" s="2">
        <v>0</v>
      </c>
      <c r="V11" s="2">
        <v>0</v>
      </c>
      <c r="W11" s="2">
        <v>0</v>
      </c>
    </row>
  </sheetData>
  <phoneticPr fontId="4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4" x14ac:dyDescent="0.3"/>
  <cols>
    <col min="1" max="2" width="14" customWidth="1"/>
    <col min="3" max="4" width="45" customWidth="1"/>
  </cols>
  <sheetData>
    <row r="1" spans="1:4" x14ac:dyDescent="0.3">
      <c r="A1" s="1" t="s">
        <v>82</v>
      </c>
      <c r="B1" s="1" t="s">
        <v>83</v>
      </c>
      <c r="C1" s="1" t="s">
        <v>84</v>
      </c>
      <c r="D1" s="1" t="s">
        <v>85</v>
      </c>
    </row>
    <row r="2" spans="1:4" ht="28.8" x14ac:dyDescent="0.3">
      <c r="A2" s="2" t="s">
        <v>7</v>
      </c>
      <c r="B2" s="2" t="s">
        <v>46</v>
      </c>
      <c r="C2" s="3" t="s">
        <v>86</v>
      </c>
      <c r="D2" s="3" t="s">
        <v>87</v>
      </c>
    </row>
    <row r="3" spans="1:4" ht="28.8" x14ac:dyDescent="0.3">
      <c r="A3" s="2" t="s">
        <v>7</v>
      </c>
      <c r="B3" s="2" t="s">
        <v>49</v>
      </c>
      <c r="C3" s="3" t="s">
        <v>88</v>
      </c>
      <c r="D3" s="3" t="s">
        <v>89</v>
      </c>
    </row>
    <row r="4" spans="1:4" ht="28.8" x14ac:dyDescent="0.3">
      <c r="A4" s="2" t="s">
        <v>17</v>
      </c>
      <c r="B4" s="2" t="s">
        <v>47</v>
      </c>
      <c r="C4" s="3" t="s">
        <v>90</v>
      </c>
      <c r="D4" s="3" t="s">
        <v>91</v>
      </c>
    </row>
    <row r="5" spans="1:4" ht="28.8" x14ac:dyDescent="0.3">
      <c r="A5" s="2" t="s">
        <v>17</v>
      </c>
      <c r="B5" s="2" t="s">
        <v>51</v>
      </c>
      <c r="C5" s="3" t="s">
        <v>92</v>
      </c>
      <c r="D5" s="3" t="s">
        <v>93</v>
      </c>
    </row>
    <row r="6" spans="1:4" ht="28.8" x14ac:dyDescent="0.3">
      <c r="A6" s="2" t="s">
        <v>26</v>
      </c>
      <c r="B6" s="2" t="s">
        <v>48</v>
      </c>
      <c r="C6" s="3" t="s">
        <v>94</v>
      </c>
      <c r="D6" s="3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tabSelected="1" workbookViewId="0">
      <selection activeCell="E5" sqref="E5"/>
    </sheetView>
  </sheetViews>
  <sheetFormatPr defaultRowHeight="14.4" x14ac:dyDescent="0.3"/>
  <cols>
    <col min="1" max="2" width="12" customWidth="1"/>
    <col min="3" max="3" width="20" customWidth="1"/>
    <col min="4" max="4" width="18" customWidth="1"/>
    <col min="5" max="5" width="20" customWidth="1"/>
    <col min="6" max="9" width="40" customWidth="1"/>
  </cols>
  <sheetData>
    <row r="1" spans="1:9" x14ac:dyDescent="0.3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</row>
    <row r="2" spans="1:9" ht="28.8" x14ac:dyDescent="0.3">
      <c r="A2" s="2">
        <v>1</v>
      </c>
      <c r="B2" s="2" t="s">
        <v>7</v>
      </c>
      <c r="C2" s="2" t="s">
        <v>62</v>
      </c>
      <c r="D2" s="2" t="s">
        <v>105</v>
      </c>
      <c r="E2" s="3" t="s">
        <v>122</v>
      </c>
      <c r="F2" s="3" t="s">
        <v>106</v>
      </c>
      <c r="G2" s="3" t="s">
        <v>107</v>
      </c>
      <c r="H2" s="3" t="s">
        <v>108</v>
      </c>
      <c r="I2" s="3" t="s">
        <v>109</v>
      </c>
    </row>
    <row r="3" spans="1:9" ht="28.8" x14ac:dyDescent="0.3">
      <c r="A3" s="2">
        <v>2</v>
      </c>
      <c r="B3" s="2" t="s">
        <v>17</v>
      </c>
      <c r="C3" s="2" t="s">
        <v>110</v>
      </c>
      <c r="D3" s="2" t="s">
        <v>111</v>
      </c>
      <c r="E3" s="3" t="s">
        <v>122</v>
      </c>
      <c r="F3" s="3" t="s">
        <v>112</v>
      </c>
      <c r="G3" s="3" t="s">
        <v>113</v>
      </c>
      <c r="H3" s="3" t="s">
        <v>114</v>
      </c>
      <c r="I3" s="3" t="s">
        <v>115</v>
      </c>
    </row>
    <row r="4" spans="1:9" ht="28.8" x14ac:dyDescent="0.3">
      <c r="A4" s="2">
        <v>3</v>
      </c>
      <c r="B4" s="2" t="s">
        <v>26</v>
      </c>
      <c r="C4" s="2" t="s">
        <v>116</v>
      </c>
      <c r="D4" s="2" t="s">
        <v>117</v>
      </c>
      <c r="E4" s="3" t="s">
        <v>122</v>
      </c>
      <c r="F4" s="3" t="s">
        <v>118</v>
      </c>
      <c r="G4" s="3" t="s">
        <v>119</v>
      </c>
      <c r="H4" s="3" t="s">
        <v>120</v>
      </c>
      <c r="I4" s="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bhumireddy</cp:lastModifiedBy>
  <dcterms:created xsi:type="dcterms:W3CDTF">2026-10-12T11:04:20Z</dcterms:created>
  <dcterms:modified xsi:type="dcterms:W3CDTF">2026-10-12T11:52:48Z</dcterms:modified>
</cp:coreProperties>
</file>